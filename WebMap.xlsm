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vbWebMap\"/>
    </mc:Choice>
  </mc:AlternateContent>
  <xr:revisionPtr revIDLastSave="0" documentId="13_ncr:1_{16BE4732-F2AF-4C7A-BA1F-FDA355D189C4}" xr6:coauthVersionLast="46" xr6:coauthVersionMax="46" xr10:uidLastSave="{00000000-0000-0000-0000-000000000000}"/>
  <bookViews>
    <workbookView xWindow="15" yWindow="15" windowWidth="19155" windowHeight="11385" xr2:uid="{03C55D9E-ABA2-4054-BC94-0DD8CCBD8FCB}"/>
  </bookViews>
  <sheets>
    <sheet name="Sheet2" sheetId="2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2" l="1"/>
  <c r="C10" i="2"/>
</calcChain>
</file>

<file path=xl/sharedStrings.xml><?xml version="1.0" encoding="utf-8"?>
<sst xmlns="http://schemas.openxmlformats.org/spreadsheetml/2006/main" count="142" uniqueCount="101">
  <si>
    <t>X</t>
  </si>
  <si>
    <t>Y</t>
  </si>
  <si>
    <t>Latitude</t>
  </si>
  <si>
    <t>Longitude</t>
  </si>
  <si>
    <t>Postcode</t>
  </si>
  <si>
    <t>Address (near)</t>
  </si>
  <si>
    <t>Point A</t>
  </si>
  <si>
    <t>NT 08445 05334</t>
  </si>
  <si>
    <t>DG10 9HF</t>
  </si>
  <si>
    <t>Moffat Town Hall, High Street, Moffat, Dumfries and Galloway, Scotland, DG10 9HF, United Kingdom</t>
  </si>
  <si>
    <t>Point B</t>
  </si>
  <si>
    <t>Point C</t>
  </si>
  <si>
    <t>DG10 9QT</t>
  </si>
  <si>
    <t>Beattock, Dumfries and Galloway, Scotland, DG10 9QT, United Kingdom</t>
  </si>
  <si>
    <t>Point D</t>
  </si>
  <si>
    <t>TD9 7PJ</t>
  </si>
  <si>
    <t>Scottish Borders, Scotland, TD9 7PJ, United Kingdom</t>
  </si>
  <si>
    <t>Point E</t>
  </si>
  <si>
    <t>ML12 6QP</t>
  </si>
  <si>
    <t>Silver Jubilee Road, Manzion, Tweedsmuir, Scottish Borders, Scotland, ML12 6QP, United Kingdom</t>
  </si>
  <si>
    <t>Point F</t>
  </si>
  <si>
    <t>undefined</t>
  </si>
  <si>
    <t>Scottish Borders, Scotland, United Kingdom</t>
  </si>
  <si>
    <t>Point G</t>
  </si>
  <si>
    <t>TD5 7TL</t>
  </si>
  <si>
    <t>Hume Byres, Hume, Scottish Borders, Scotland, TD5 7TL, United Kingdom</t>
  </si>
  <si>
    <t>Point H</t>
  </si>
  <si>
    <t>NT 69627 40542</t>
  </si>
  <si>
    <t>TD5 7TS</t>
  </si>
  <si>
    <t>Hume Orchard, Hume, Scottish Borders, Scotland, TD5 7TS, United Kingdom</t>
  </si>
  <si>
    <t>Point I</t>
  </si>
  <si>
    <t>NT 71180 40187</t>
  </si>
  <si>
    <t>TD5 7TN</t>
  </si>
  <si>
    <t>B6364, Stichill Home Farm, Stichill, Scottish Borders, Scotland, TD5 7TN, United Kingdom</t>
  </si>
  <si>
    <t>Point J</t>
  </si>
  <si>
    <t>NT 70317 40365</t>
  </si>
  <si>
    <t>Point K</t>
  </si>
  <si>
    <t>Point L</t>
  </si>
  <si>
    <t>NT 69798 40196</t>
  </si>
  <si>
    <t>Point M</t>
  </si>
  <si>
    <t>NT 69796 40024</t>
  </si>
  <si>
    <t>TD5 7TR</t>
  </si>
  <si>
    <t>Sweethope Hill, Bow Butts, Hume Orchard, Hume, Scottish Borders, Scotland, TD5 7TR, United Kingdom</t>
  </si>
  <si>
    <t>Point N</t>
  </si>
  <si>
    <t>NT 70141 39849</t>
  </si>
  <si>
    <t>TD5 7RZ</t>
  </si>
  <si>
    <t>Lairdshill, Stichill, Scottish Borders, Scotland, TD5 7RZ, United Kingdom</t>
  </si>
  <si>
    <t>Point O</t>
  </si>
  <si>
    <t>NT 40105 42917</t>
  </si>
  <si>
    <t>Point P</t>
  </si>
  <si>
    <t>NT 19580 44799</t>
  </si>
  <si>
    <t>EH45 8PR</t>
  </si>
  <si>
    <t>Greenside, Scottish Borders, Scotland, EH45 8PR, United Kingdom</t>
  </si>
  <si>
    <t>Point Q</t>
  </si>
  <si>
    <t>NT 03819 42878</t>
  </si>
  <si>
    <t>ML12 6RA</t>
  </si>
  <si>
    <t>Gillburn, South Lanarkshire, Scotland, ML12 6RA, United Kingdom</t>
  </si>
  <si>
    <t>Point R</t>
  </si>
  <si>
    <t>NT 05197 42675</t>
  </si>
  <si>
    <t>ML12 6RD</t>
  </si>
  <si>
    <t>Elsrickle, South Lanarkshire, Scotland, ML12 6RD, United Kingdom</t>
  </si>
  <si>
    <t>Point S</t>
  </si>
  <si>
    <t>NT 48055 28657</t>
  </si>
  <si>
    <t>TD7 4PU</t>
  </si>
  <si>
    <t>Selkirk, Scottish Borders, Scotland, TD7 4PU, United Kingdom</t>
  </si>
  <si>
    <t>Point T</t>
  </si>
  <si>
    <t>NT 39725 27899</t>
  </si>
  <si>
    <t>TD7 5NB</t>
  </si>
  <si>
    <t>Duchess's Drive, Scottish Borders, Scotland, TD7 5NB, United Kingdom</t>
  </si>
  <si>
    <t>Point U</t>
  </si>
  <si>
    <t>NT 43219 29928</t>
  </si>
  <si>
    <t>TD7 5LZ</t>
  </si>
  <si>
    <t>Broadmeadows, Scottish Borders, Scotland, TD7 5LZ, United Kingdom</t>
  </si>
  <si>
    <t>Point V</t>
  </si>
  <si>
    <t>NT 61873 23324</t>
  </si>
  <si>
    <t>TD8 6XR</t>
  </si>
  <si>
    <t>Broom, Ancrum, Scottish Borders, Scotland, TD8 6XR, United Kingdom</t>
  </si>
  <si>
    <t>Point W</t>
  </si>
  <si>
    <t>NT 63416 21059</t>
  </si>
  <si>
    <t>TD8 6RY</t>
  </si>
  <si>
    <t>The Broch, Jedburgh, Scottish Borders, Scotland, TD8 6RY, United Kingdom</t>
  </si>
  <si>
    <t>Point X</t>
  </si>
  <si>
    <t>Point Y</t>
  </si>
  <si>
    <t>NT 62033 21764</t>
  </si>
  <si>
    <t>TD8 6SU</t>
  </si>
  <si>
    <t>Lantonhall, Lanton, Scottish Borders, Scotland, TD8 6SU, United Kingdom</t>
  </si>
  <si>
    <t>Point Z</t>
  </si>
  <si>
    <t>Point BA</t>
  </si>
  <si>
    <t>NT 62898 21410</t>
  </si>
  <si>
    <t>TD8 6SX</t>
  </si>
  <si>
    <t>Tudhope Loaning, The Broch, Lanton, Scottish Borders, Scotland, TD8 6SX, United Kingdom</t>
  </si>
  <si>
    <t>ID</t>
  </si>
  <si>
    <t>Type</t>
  </si>
  <si>
    <t>NT0844205335</t>
  </si>
  <si>
    <t>NT 0851602760</t>
  </si>
  <si>
    <t>NT 410 115</t>
  </si>
  <si>
    <t>NT107206</t>
  </si>
  <si>
    <t>Create</t>
  </si>
  <si>
    <t>String</t>
  </si>
  <si>
    <t>CreateFromString</t>
  </si>
  <si>
    <t>CreateFromLatLng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</si>
</sst>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38100</xdr:rowOff>
    </xdr:from>
    <xdr:to>
      <xdr:col>2</xdr:col>
      <xdr:colOff>809625</xdr:colOff>
      <xdr:row>2</xdr:row>
      <xdr:rowOff>66675</xdr:rowOff>
    </xdr:to>
    <xdr:sp macro="[0]!Data.Show" textlink="">
      <xdr:nvSpPr>
        <xdr:cNvPr id="2" name="Rectangle 1">
          <a:extLst>
            <a:ext uri="{FF2B5EF4-FFF2-40B4-BE49-F238E27FC236}">
              <a16:creationId xmlns:a16="http://schemas.microsoft.com/office/drawing/2014/main" id="{C33C1F30-8C3B-4CDE-A3D5-6489B313B337}"/>
            </a:ext>
          </a:extLst>
        </xdr:cNvPr>
        <xdr:cNvSpPr/>
      </xdr:nvSpPr>
      <xdr:spPr>
        <a:xfrm>
          <a:off x="57150" y="38100"/>
          <a:ext cx="264795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/>
            <a:t>View Map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E1EB54-BD4F-4F10-B1E9-E7A95D9C8E58}" name="Points" displayName="Points" ref="A4:I31" totalsRowShown="0" headerRowDxfId="0">
  <autoFilter ref="A4:I31" xr:uid="{E12D248A-CF2F-4BFA-AEBD-1536817FAA2E}"/>
  <tableColumns count="9">
    <tableColumn id="1" xr3:uid="{E017D1CC-B1CA-4099-BDFE-0818B53F92D8}" name="ID"/>
    <tableColumn id="2" xr3:uid="{D5A3B2BA-FE2E-4B3B-ACBF-43B42AF46AFC}" name="Type"/>
    <tableColumn id="3" xr3:uid="{3C683400-15E7-4559-8E3D-825A89AB432F}" name="String"/>
    <tableColumn id="4" xr3:uid="{A88E3FFA-71E4-4DAF-B689-7BADC4B9770A}" name="X"/>
    <tableColumn id="5" xr3:uid="{7083DB6A-9E74-439C-9010-367BCB671CB9}" name="Y"/>
    <tableColumn id="6" xr3:uid="{1A6F6E8F-BBB3-408B-83C2-AD499944DCF7}" name="Latitude"/>
    <tableColumn id="7" xr3:uid="{CC9EE229-D8CD-42E1-A055-3EA6A6D66532}" name="Longitude"/>
    <tableColumn id="8" xr3:uid="{3F30CD2E-DCD4-476D-9DC4-DC7EA4EA8D6E}" name="Postcode"/>
    <tableColumn id="9" xr3:uid="{F8F608A5-267E-4A9C-8C5B-5C6F086895B9}" name="Address (near)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855D8-891A-4960-8451-AB3BB7C12F2D}">
  <sheetPr codeName="Data"/>
  <dimension ref="A4:I31"/>
  <sheetViews>
    <sheetView tabSelected="1" workbookViewId="0">
      <selection activeCell="B10" sqref="B10"/>
    </sheetView>
  </sheetViews>
  <sheetFormatPr defaultRowHeight="15" x14ac:dyDescent="0.25"/>
  <cols>
    <col min="1" max="1" width="11.140625" bestFit="1" customWidth="1"/>
    <col min="2" max="2" width="17.28515625" bestFit="1" customWidth="1"/>
    <col min="3" max="3" width="14.42578125" bestFit="1" customWidth="1"/>
    <col min="4" max="5" width="7" bestFit="1" customWidth="1"/>
    <col min="6" max="6" width="10.42578125" customWidth="1"/>
    <col min="7" max="7" width="12" customWidth="1"/>
    <col min="8" max="8" width="11.28515625" customWidth="1"/>
    <col min="9" max="9" width="94.28515625" bestFit="1" customWidth="1"/>
  </cols>
  <sheetData>
    <row r="4" spans="1:9" x14ac:dyDescent="0.25">
      <c r="A4" s="1" t="s">
        <v>91</v>
      </c>
      <c r="B4" s="1" t="s">
        <v>92</v>
      </c>
      <c r="C4" s="1" t="s">
        <v>98</v>
      </c>
      <c r="D4" s="1" t="s">
        <v>0</v>
      </c>
      <c r="E4" s="1" t="s">
        <v>1</v>
      </c>
      <c r="F4" s="1" t="s">
        <v>2</v>
      </c>
      <c r="G4" s="1" t="s">
        <v>3</v>
      </c>
      <c r="H4" s="1" t="s">
        <v>4</v>
      </c>
      <c r="I4" s="1" t="s">
        <v>5</v>
      </c>
    </row>
    <row r="5" spans="1:9" x14ac:dyDescent="0.25">
      <c r="A5" t="s">
        <v>6</v>
      </c>
      <c r="B5" t="s">
        <v>99</v>
      </c>
      <c r="C5" t="s">
        <v>7</v>
      </c>
      <c r="D5">
        <v>308445</v>
      </c>
      <c r="E5">
        <v>605334</v>
      </c>
      <c r="F5">
        <v>55.333502000000003</v>
      </c>
      <c r="G5">
        <v>-3.4447985999999999</v>
      </c>
      <c r="H5" t="s">
        <v>8</v>
      </c>
      <c r="I5" t="s">
        <v>9</v>
      </c>
    </row>
    <row r="6" spans="1:9" x14ac:dyDescent="0.25">
      <c r="A6" t="s">
        <v>10</v>
      </c>
      <c r="B6" t="s">
        <v>99</v>
      </c>
      <c r="C6" t="s">
        <v>93</v>
      </c>
      <c r="D6">
        <v>308442</v>
      </c>
      <c r="E6">
        <v>605335</v>
      </c>
      <c r="F6">
        <v>55.333511000000001</v>
      </c>
      <c r="G6">
        <v>-3.4448603000000002</v>
      </c>
      <c r="H6" t="s">
        <v>8</v>
      </c>
      <c r="I6" t="s">
        <v>9</v>
      </c>
    </row>
    <row r="7" spans="1:9" x14ac:dyDescent="0.25">
      <c r="A7" t="s">
        <v>11</v>
      </c>
      <c r="B7" t="s">
        <v>99</v>
      </c>
      <c r="C7" t="s">
        <v>94</v>
      </c>
      <c r="D7">
        <v>308516</v>
      </c>
      <c r="E7">
        <v>602760</v>
      </c>
      <c r="F7">
        <v>55.310391000000003</v>
      </c>
      <c r="G7">
        <v>-3.4428405999999998</v>
      </c>
      <c r="H7" t="s">
        <v>12</v>
      </c>
      <c r="I7" t="s">
        <v>13</v>
      </c>
    </row>
    <row r="8" spans="1:9" x14ac:dyDescent="0.25">
      <c r="A8" t="s">
        <v>14</v>
      </c>
      <c r="B8" t="s">
        <v>99</v>
      </c>
      <c r="C8" t="s">
        <v>95</v>
      </c>
      <c r="D8">
        <v>341067</v>
      </c>
      <c r="E8">
        <v>611591</v>
      </c>
      <c r="F8">
        <v>55.394711999999998</v>
      </c>
      <c r="G8">
        <v>-2.9319763000000001</v>
      </c>
      <c r="H8" t="s">
        <v>15</v>
      </c>
      <c r="I8" t="s">
        <v>16</v>
      </c>
    </row>
    <row r="9" spans="1:9" x14ac:dyDescent="0.25">
      <c r="A9" t="s">
        <v>17</v>
      </c>
      <c r="B9" t="s">
        <v>99</v>
      </c>
      <c r="C9" t="s">
        <v>96</v>
      </c>
      <c r="D9">
        <v>310797</v>
      </c>
      <c r="E9">
        <v>620601</v>
      </c>
      <c r="F9">
        <v>55.471069999999997</v>
      </c>
      <c r="G9">
        <v>-3.4126281999999999</v>
      </c>
      <c r="H9" t="s">
        <v>18</v>
      </c>
      <c r="I9" t="s">
        <v>19</v>
      </c>
    </row>
    <row r="10" spans="1:9" x14ac:dyDescent="0.25">
      <c r="A10" t="s">
        <v>20</v>
      </c>
      <c r="B10" t="s">
        <v>99</v>
      </c>
      <c r="C10" t="str">
        <f>D10&amp;","&amp;E10</f>
        <v>330925,608438</v>
      </c>
      <c r="D10">
        <v>330925</v>
      </c>
      <c r="E10">
        <v>608438</v>
      </c>
      <c r="F10">
        <v>55.365063999999997</v>
      </c>
      <c r="G10">
        <v>-3.0912780999999998</v>
      </c>
      <c r="H10" t="s">
        <v>21</v>
      </c>
      <c r="I10" t="s">
        <v>22</v>
      </c>
    </row>
    <row r="11" spans="1:9" x14ac:dyDescent="0.25">
      <c r="A11" t="s">
        <v>23</v>
      </c>
      <c r="B11" t="s">
        <v>99</v>
      </c>
      <c r="C11" t="str">
        <f>D11&amp;" - "&amp;E11</f>
        <v>370316 - 640193</v>
      </c>
      <c r="D11">
        <v>370316</v>
      </c>
      <c r="E11">
        <v>640193</v>
      </c>
      <c r="F11">
        <v>55.654347999999999</v>
      </c>
      <c r="G11">
        <v>-2.4732970999999999</v>
      </c>
      <c r="H11" t="s">
        <v>24</v>
      </c>
      <c r="I11" t="s">
        <v>25</v>
      </c>
    </row>
    <row r="12" spans="1:9" x14ac:dyDescent="0.25">
      <c r="A12" t="s">
        <v>26</v>
      </c>
      <c r="B12" t="s">
        <v>97</v>
      </c>
      <c r="C12" t="s">
        <v>27</v>
      </c>
      <c r="D12">
        <v>369627</v>
      </c>
      <c r="E12">
        <v>640542</v>
      </c>
      <c r="F12">
        <v>55.657446999999998</v>
      </c>
      <c r="G12">
        <v>-2.4842833999999998</v>
      </c>
      <c r="H12" t="s">
        <v>28</v>
      </c>
      <c r="I12" t="s">
        <v>29</v>
      </c>
    </row>
    <row r="13" spans="1:9" x14ac:dyDescent="0.25">
      <c r="A13" t="s">
        <v>30</v>
      </c>
      <c r="B13" t="s">
        <v>97</v>
      </c>
      <c r="C13" t="s">
        <v>31</v>
      </c>
      <c r="D13">
        <v>371180</v>
      </c>
      <c r="E13">
        <v>640187</v>
      </c>
      <c r="F13">
        <v>55.654347999999999</v>
      </c>
      <c r="G13">
        <v>-2.4595642</v>
      </c>
      <c r="H13" t="s">
        <v>32</v>
      </c>
      <c r="I13" t="s">
        <v>33</v>
      </c>
    </row>
    <row r="14" spans="1:9" x14ac:dyDescent="0.25">
      <c r="A14" t="s">
        <v>34</v>
      </c>
      <c r="B14" t="s">
        <v>100</v>
      </c>
      <c r="C14" t="s">
        <v>35</v>
      </c>
      <c r="D14">
        <v>370317</v>
      </c>
      <c r="E14">
        <v>640365</v>
      </c>
      <c r="F14">
        <v>55.655897000000003</v>
      </c>
      <c r="G14">
        <v>-2.4732970999999999</v>
      </c>
      <c r="H14" t="s">
        <v>24</v>
      </c>
      <c r="I14" t="s">
        <v>25</v>
      </c>
    </row>
    <row r="15" spans="1:9" x14ac:dyDescent="0.25">
      <c r="A15" t="s">
        <v>36</v>
      </c>
      <c r="B15" t="s">
        <v>100</v>
      </c>
      <c r="C15" t="s">
        <v>35</v>
      </c>
      <c r="D15">
        <v>370317</v>
      </c>
      <c r="E15">
        <v>640365</v>
      </c>
      <c r="F15">
        <v>55.655897000000003</v>
      </c>
      <c r="G15">
        <v>-2.4732970999999999</v>
      </c>
      <c r="H15" t="s">
        <v>24</v>
      </c>
      <c r="I15" t="s">
        <v>25</v>
      </c>
    </row>
    <row r="16" spans="1:9" x14ac:dyDescent="0.25">
      <c r="A16" t="s">
        <v>37</v>
      </c>
      <c r="B16" t="s">
        <v>97</v>
      </c>
      <c r="C16" t="s">
        <v>38</v>
      </c>
      <c r="D16">
        <v>369798</v>
      </c>
      <c r="E16">
        <v>640196</v>
      </c>
      <c r="F16">
        <v>55.654347999999999</v>
      </c>
      <c r="G16">
        <v>-2.4815369</v>
      </c>
      <c r="H16" t="s">
        <v>24</v>
      </c>
      <c r="I16" t="s">
        <v>25</v>
      </c>
    </row>
    <row r="17" spans="1:9" x14ac:dyDescent="0.25">
      <c r="A17" t="s">
        <v>39</v>
      </c>
      <c r="B17" t="s">
        <v>97</v>
      </c>
      <c r="C17" t="s">
        <v>40</v>
      </c>
      <c r="D17">
        <v>369796</v>
      </c>
      <c r="E17">
        <v>640024</v>
      </c>
      <c r="F17">
        <v>55.652797999999997</v>
      </c>
      <c r="G17">
        <v>-2.4815369</v>
      </c>
      <c r="H17" t="s">
        <v>41</v>
      </c>
      <c r="I17" t="s">
        <v>42</v>
      </c>
    </row>
    <row r="18" spans="1:9" x14ac:dyDescent="0.25">
      <c r="A18" t="s">
        <v>43</v>
      </c>
      <c r="B18" t="s">
        <v>97</v>
      </c>
      <c r="C18" t="s">
        <v>44</v>
      </c>
      <c r="D18">
        <v>370141</v>
      </c>
      <c r="E18">
        <v>639849</v>
      </c>
      <c r="F18">
        <v>55.651248000000002</v>
      </c>
      <c r="G18">
        <v>-2.4760437</v>
      </c>
      <c r="H18" t="s">
        <v>45</v>
      </c>
      <c r="I18" t="s">
        <v>46</v>
      </c>
    </row>
    <row r="19" spans="1:9" x14ac:dyDescent="0.25">
      <c r="A19" t="s">
        <v>47</v>
      </c>
      <c r="B19" t="s">
        <v>97</v>
      </c>
      <c r="C19" t="s">
        <v>48</v>
      </c>
      <c r="D19">
        <v>340105</v>
      </c>
      <c r="E19">
        <v>642917</v>
      </c>
      <c r="F19">
        <v>55.676036000000003</v>
      </c>
      <c r="G19">
        <v>-2.9539490000000002</v>
      </c>
      <c r="H19" t="s">
        <v>21</v>
      </c>
      <c r="I19" t="s">
        <v>22</v>
      </c>
    </row>
    <row r="20" spans="1:9" x14ac:dyDescent="0.25">
      <c r="A20" t="s">
        <v>49</v>
      </c>
      <c r="B20" t="s">
        <v>97</v>
      </c>
      <c r="C20" t="s">
        <v>50</v>
      </c>
      <c r="D20">
        <v>319580</v>
      </c>
      <c r="E20">
        <v>644799</v>
      </c>
      <c r="F20">
        <v>55.689971999999997</v>
      </c>
      <c r="G20">
        <v>-3.2807922</v>
      </c>
      <c r="H20" t="s">
        <v>51</v>
      </c>
      <c r="I20" t="s">
        <v>52</v>
      </c>
    </row>
    <row r="21" spans="1:9" x14ac:dyDescent="0.25">
      <c r="A21" t="s">
        <v>53</v>
      </c>
      <c r="B21" t="s">
        <v>97</v>
      </c>
      <c r="C21" t="s">
        <v>54</v>
      </c>
      <c r="D21">
        <v>303819</v>
      </c>
      <c r="E21">
        <v>642878</v>
      </c>
      <c r="F21">
        <v>55.669840000000001</v>
      </c>
      <c r="G21">
        <v>-3.5307312</v>
      </c>
      <c r="H21" t="s">
        <v>55</v>
      </c>
      <c r="I21" t="s">
        <v>56</v>
      </c>
    </row>
    <row r="22" spans="1:9" x14ac:dyDescent="0.25">
      <c r="A22" t="s">
        <v>57</v>
      </c>
      <c r="B22" t="s">
        <v>97</v>
      </c>
      <c r="C22" t="s">
        <v>58</v>
      </c>
      <c r="D22">
        <v>305197</v>
      </c>
      <c r="E22">
        <v>642675</v>
      </c>
      <c r="F22">
        <v>55.668291000000004</v>
      </c>
      <c r="G22">
        <v>-3.5087584999999999</v>
      </c>
      <c r="H22" t="s">
        <v>59</v>
      </c>
      <c r="I22" t="s">
        <v>60</v>
      </c>
    </row>
    <row r="23" spans="1:9" x14ac:dyDescent="0.25">
      <c r="A23" t="s">
        <v>61</v>
      </c>
      <c r="B23" t="s">
        <v>97</v>
      </c>
      <c r="C23" t="s">
        <v>62</v>
      </c>
      <c r="D23">
        <v>348055</v>
      </c>
      <c r="E23">
        <v>628657</v>
      </c>
      <c r="F23">
        <v>55.548833999999999</v>
      </c>
      <c r="G23">
        <v>-2.8248595999999999</v>
      </c>
      <c r="H23" t="s">
        <v>63</v>
      </c>
      <c r="I23" t="s">
        <v>64</v>
      </c>
    </row>
    <row r="24" spans="1:9" x14ac:dyDescent="0.25">
      <c r="A24" t="s">
        <v>65</v>
      </c>
      <c r="B24" t="s">
        <v>97</v>
      </c>
      <c r="C24" t="s">
        <v>66</v>
      </c>
      <c r="D24">
        <v>339725</v>
      </c>
      <c r="E24">
        <v>627899</v>
      </c>
      <c r="F24">
        <v>55.541065000000003</v>
      </c>
      <c r="G24">
        <v>-2.9566956000000002</v>
      </c>
      <c r="H24" t="s">
        <v>67</v>
      </c>
      <c r="I24" t="s">
        <v>68</v>
      </c>
    </row>
    <row r="25" spans="1:9" x14ac:dyDescent="0.25">
      <c r="A25" t="s">
        <v>69</v>
      </c>
      <c r="B25" t="s">
        <v>97</v>
      </c>
      <c r="C25" t="s">
        <v>70</v>
      </c>
      <c r="D25">
        <v>343219</v>
      </c>
      <c r="E25">
        <v>629928</v>
      </c>
      <c r="F25">
        <v>55.559708999999998</v>
      </c>
      <c r="G25">
        <v>-2.9017639000000002</v>
      </c>
      <c r="H25" t="s">
        <v>71</v>
      </c>
      <c r="I25" t="s">
        <v>72</v>
      </c>
    </row>
    <row r="26" spans="1:9" x14ac:dyDescent="0.25">
      <c r="A26" t="s">
        <v>73</v>
      </c>
      <c r="B26" t="s">
        <v>97</v>
      </c>
      <c r="C26" t="s">
        <v>74</v>
      </c>
      <c r="D26">
        <v>361873</v>
      </c>
      <c r="E26">
        <v>623324</v>
      </c>
      <c r="F26">
        <v>55.502194000000003</v>
      </c>
      <c r="G26">
        <v>-2.6051331000000002</v>
      </c>
      <c r="H26" t="s">
        <v>75</v>
      </c>
      <c r="I26" t="s">
        <v>76</v>
      </c>
    </row>
    <row r="27" spans="1:9" x14ac:dyDescent="0.25">
      <c r="A27" t="s">
        <v>77</v>
      </c>
      <c r="B27" t="s">
        <v>97</v>
      </c>
      <c r="C27" t="s">
        <v>78</v>
      </c>
      <c r="D27">
        <v>363416</v>
      </c>
      <c r="E27">
        <v>621059</v>
      </c>
      <c r="F27">
        <v>55.481966</v>
      </c>
      <c r="G27">
        <v>-2.5804138000000001</v>
      </c>
      <c r="H27" t="s">
        <v>79</v>
      </c>
      <c r="I27" t="s">
        <v>80</v>
      </c>
    </row>
    <row r="28" spans="1:9" x14ac:dyDescent="0.25">
      <c r="A28" t="s">
        <v>81</v>
      </c>
      <c r="B28" t="s">
        <v>97</v>
      </c>
      <c r="C28" t="s">
        <v>78</v>
      </c>
      <c r="D28">
        <v>363416</v>
      </c>
      <c r="E28">
        <v>621059</v>
      </c>
      <c r="F28">
        <v>55.481966</v>
      </c>
      <c r="G28">
        <v>-2.5804138000000001</v>
      </c>
      <c r="H28" t="s">
        <v>79</v>
      </c>
      <c r="I28" t="s">
        <v>80</v>
      </c>
    </row>
    <row r="29" spans="1:9" x14ac:dyDescent="0.25">
      <c r="A29" t="s">
        <v>82</v>
      </c>
      <c r="B29" t="s">
        <v>97</v>
      </c>
      <c r="C29" t="s">
        <v>83</v>
      </c>
      <c r="D29">
        <v>362033</v>
      </c>
      <c r="E29">
        <v>621764</v>
      </c>
      <c r="F29">
        <v>55.488191</v>
      </c>
      <c r="G29">
        <v>-2.6023865000000002</v>
      </c>
      <c r="H29" t="s">
        <v>84</v>
      </c>
      <c r="I29" t="s">
        <v>85</v>
      </c>
    </row>
    <row r="30" spans="1:9" x14ac:dyDescent="0.25">
      <c r="A30" t="s">
        <v>86</v>
      </c>
      <c r="B30" t="s">
        <v>97</v>
      </c>
      <c r="C30" t="s">
        <v>83</v>
      </c>
      <c r="D30">
        <v>362033</v>
      </c>
      <c r="E30">
        <v>621764</v>
      </c>
      <c r="F30">
        <v>55.488191</v>
      </c>
      <c r="G30">
        <v>-2.6023865000000002</v>
      </c>
      <c r="H30" t="s">
        <v>84</v>
      </c>
      <c r="I30" t="s">
        <v>85</v>
      </c>
    </row>
    <row r="31" spans="1:9" x14ac:dyDescent="0.25">
      <c r="A31" t="s">
        <v>87</v>
      </c>
      <c r="B31" t="s">
        <v>97</v>
      </c>
      <c r="C31" t="s">
        <v>88</v>
      </c>
      <c r="D31">
        <v>362898</v>
      </c>
      <c r="E31">
        <v>621410</v>
      </c>
      <c r="F31">
        <v>55.485078999999999</v>
      </c>
      <c r="G31">
        <v>-2.5886536000000002</v>
      </c>
      <c r="H31" t="s">
        <v>89</v>
      </c>
      <c r="I31" t="s">
        <v>90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2021-05-15T11:36:17Z</dcterms:created>
  <dcterms:modified xsi:type="dcterms:W3CDTF">2021-05-17T02:40:05Z</dcterms:modified>
</cp:coreProperties>
</file>